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ashFlow_NetWorth" sheetId="2" state="visible" r:id="rId4"/>
    <sheet name="Retirement" sheetId="3" state="visible" r:id="rId5"/>
    <sheet name="Goals" sheetId="4" state="visible" r:id="rId6"/>
    <sheet name="HLV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<sst xmlns="http://schemas.openxmlformats.org/spreadsheetml/2006/main" count="115" uniqueCount="109">
  <si>
    <t xml:space="preserve">PB Copilot — Personal Financial Planner</t>
  </si>
  <si>
    <t xml:space="preserve">SYNTHETIC SAMPLE DATA — every figure and name below is fictional, for demo only.</t>
  </si>
  <si>
    <t xml:space="preserve">1</t>
  </si>
  <si>
    <t xml:space="preserve">"Cash Flow &amp; Net Worth" — document income, expenses, assets, liabilities, and current insurance.</t>
  </si>
  <si>
    <t xml:space="preserve">2</t>
  </si>
  <si>
    <t xml:space="preserve">"Retirement" — estimates the corpus you need and the monthly investment to get there.</t>
  </si>
  <si>
    <t xml:space="preserve">3</t>
  </si>
  <si>
    <t xml:space="preserve">"Goals" — short/medium/long-term goals (education, house, car) with future value and monthly SIP needed.</t>
  </si>
  <si>
    <t xml:space="preserve">4</t>
  </si>
  <si>
    <t xml:space="preserve">"HLV" — Human Life Value: how much life insurance you actually need.</t>
  </si>
  <si>
    <t xml:space="preserve">5</t>
  </si>
  <si>
    <t xml:space="preserve">"Summary" — one-glance view: emergency fund, insurance gaps, and per-goal monthly investment.</t>
  </si>
  <si>
    <t xml:space="preserve">Educational guidance only — not a substitute for a licensed financial advisor.</t>
  </si>
  <si>
    <t xml:space="preserve">Cash Flow &amp; Net Worth</t>
  </si>
  <si>
    <t xml:space="preserve">Yellow cells = your inputs. Others are formulas.</t>
  </si>
  <si>
    <t xml:space="preserve">Monthly Income</t>
  </si>
  <si>
    <t xml:space="preserve">INR/month</t>
  </si>
  <si>
    <t xml:space="preserve">Net Salary</t>
  </si>
  <si>
    <t xml:space="preserve">Spouse Net Income</t>
  </si>
  <si>
    <t xml:space="preserve">Rental Income (post tax)</t>
  </si>
  <si>
    <t xml:space="preserve">Other Income</t>
  </si>
  <si>
    <t xml:space="preserve">Total Income</t>
  </si>
  <si>
    <t xml:space="preserve">Monthly Expenses</t>
  </si>
  <si>
    <t xml:space="preserve">Home Loan / Rent EMI</t>
  </si>
  <si>
    <t xml:space="preserve">Food &amp; Groceries</t>
  </si>
  <si>
    <t xml:space="preserve">Utilities &amp; Bills</t>
  </si>
  <si>
    <t xml:space="preserve">Transport &amp; Fuel</t>
  </si>
  <si>
    <t xml:space="preserve">Children School Fees</t>
  </si>
  <si>
    <t xml:space="preserve">Medical</t>
  </si>
  <si>
    <t xml:space="preserve">Insurance Premiums</t>
  </si>
  <si>
    <t xml:space="preserve">Subscriptions &amp; Lifestyle</t>
  </si>
  <si>
    <t xml:space="preserve">Discretionary</t>
  </si>
  <si>
    <t xml:space="preserve">Total Expenses</t>
  </si>
  <si>
    <t xml:space="preserve">Net Monthly Savings</t>
  </si>
  <si>
    <t xml:space="preserve">Assets (current value)</t>
  </si>
  <si>
    <t xml:space="preserve">INR</t>
  </si>
  <si>
    <t xml:space="preserve">Liabilities (outstanding)</t>
  </si>
  <si>
    <t xml:space="preserve">Self-occupied Property</t>
  </si>
  <si>
    <t xml:space="preserve">Home Loan</t>
  </si>
  <si>
    <t xml:space="preserve">EPF / PPF Balance</t>
  </si>
  <si>
    <t xml:space="preserve">Car Loan</t>
  </si>
  <si>
    <t xml:space="preserve">Fixed Deposits</t>
  </si>
  <si>
    <t xml:space="preserve">Credit Card</t>
  </si>
  <si>
    <t xml:space="preserve">Equity Mutual Funds</t>
  </si>
  <si>
    <t xml:space="preserve">Personal Loan</t>
  </si>
  <si>
    <t xml:space="preserve">Debt Mutual Funds</t>
  </si>
  <si>
    <t xml:space="preserve">Other Loan</t>
  </si>
  <si>
    <t xml:space="preserve">Stocks</t>
  </si>
  <si>
    <t xml:space="preserve">Gold (all forms)</t>
  </si>
  <si>
    <t xml:space="preserve">NPS</t>
  </si>
  <si>
    <t xml:space="preserve">Savings Account</t>
  </si>
  <si>
    <t xml:space="preserve">Total Assets</t>
  </si>
  <si>
    <t xml:space="preserve">Total Liabilities</t>
  </si>
  <si>
    <t xml:space="preserve">Net Worth</t>
  </si>
  <si>
    <t xml:space="preserve">Current Insurance</t>
  </si>
  <si>
    <t xml:space="preserve">Cover (INR)</t>
  </si>
  <si>
    <t xml:space="preserve">Life Insurance (total)</t>
  </si>
  <si>
    <t xml:space="preserve">Health Insurance (total)</t>
  </si>
  <si>
    <t xml:space="preserve">Retirement Planner</t>
  </si>
  <si>
    <t xml:space="preserve">Current Age</t>
  </si>
  <si>
    <t xml:space="preserve">Retirement Age</t>
  </si>
  <si>
    <t xml:space="preserve">Life Expectancy (plan till)</t>
  </si>
  <si>
    <t xml:space="preserve">Current Monthly Expenses (post-retirement)</t>
  </si>
  <si>
    <t xml:space="preserve">Inflation</t>
  </si>
  <si>
    <t xml:space="preserve">Return on Investment (pre-retirement)</t>
  </si>
  <si>
    <t xml:space="preserve">Return post-retirement</t>
  </si>
  <si>
    <t xml:space="preserve">Amount Already Invested for Retirement</t>
  </si>
  <si>
    <t xml:space="preserve">Years to Retirement</t>
  </si>
  <si>
    <t xml:space="preserve">Monthly Expense at Retirement (inflated)</t>
  </si>
  <si>
    <t xml:space="preserve">Annual Expense at Retirement</t>
  </si>
  <si>
    <t xml:space="preserve">Real Return post-retirement</t>
  </si>
  <si>
    <t xml:space="preserve">Retirement Years</t>
  </si>
  <si>
    <t xml:space="preserve">Corpus Required at Retirement</t>
  </si>
  <si>
    <t xml:space="preserve">Future Value of Current Investment</t>
  </si>
  <si>
    <t xml:space="preserve">Net Corpus Still Needed</t>
  </si>
  <si>
    <t xml:space="preserve">Monthly SIP Needed for Retirement</t>
  </si>
  <si>
    <t xml:space="preserve">Financial Goals</t>
  </si>
  <si>
    <t xml:space="preserve">Goal</t>
  </si>
  <si>
    <t xml:space="preserve">Current Cost (INR)</t>
  </si>
  <si>
    <t xml:space="preserve">Years</t>
  </si>
  <si>
    <t xml:space="preserve">Future Value</t>
  </si>
  <si>
    <t xml:space="preserve">Monthly SIP Needed</t>
  </si>
  <si>
    <t xml:space="preserve">Child 1 — Undergraduate</t>
  </si>
  <si>
    <t xml:space="preserve">Child 1 — Marriage</t>
  </si>
  <si>
    <t xml:space="preserve">Child 2 — Undergraduate</t>
  </si>
  <si>
    <t xml:space="preserve">House Down Payment</t>
  </si>
  <si>
    <t xml:space="preserve">Car Upgrade</t>
  </si>
  <si>
    <t xml:space="preserve">Family Vacation Fund</t>
  </si>
  <si>
    <t xml:space="preserve">TOTAL Monthly SIP for Goals</t>
  </si>
  <si>
    <t xml:space="preserve">Human Life Value (Life Insurance Needed)</t>
  </si>
  <si>
    <t xml:space="preserve">Annual Income to Replace</t>
  </si>
  <si>
    <t xml:space="preserve">Years to Provide For</t>
  </si>
  <si>
    <t xml:space="preserve">Return on Investment</t>
  </si>
  <si>
    <t xml:space="preserve">Outstanding Loans</t>
  </si>
  <si>
    <t xml:space="preserve">Total Goal Corpus (from Goals FV)</t>
  </si>
  <si>
    <t xml:space="preserve">Current Investments</t>
  </si>
  <si>
    <t xml:space="preserve">Current Life Insurance</t>
  </si>
  <si>
    <t xml:space="preserve">Real Return</t>
  </si>
  <si>
    <t xml:space="preserve">Income Replacement Corpus</t>
  </si>
  <si>
    <t xml:space="preserve">Total Insurance Required</t>
  </si>
  <si>
    <t xml:space="preserve">Additional Cover Needed</t>
  </si>
  <si>
    <t xml:space="preserve">Financial Plan — Summary</t>
  </si>
  <si>
    <t xml:space="preserve">Emergency Fund Needed (6 months expenses)</t>
  </si>
  <si>
    <t xml:space="preserve">Retirement Corpus Required</t>
  </si>
  <si>
    <t xml:space="preserve">Monthly SIP for Retirement</t>
  </si>
  <si>
    <t xml:space="preserve">Total Monthly SIP for Goals</t>
  </si>
  <si>
    <t xml:space="preserve">Additional Life Insurance Needed</t>
  </si>
  <si>
    <t xml:space="preserve">Total Monthly Investment Required</t>
  </si>
  <si>
    <t xml:space="preserve">Educational guidance only — not licensed financial advice.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</si>
</sst>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1"/>
      <color rgb="FF1F4E5F"/>
      <name val="Cambria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A5" s="4" t="s">
        <v>2</v>
      </c>
      <c r="B5" s="1" t="s">
        <v>3</v>
      </c>
    </row>
    <row r="6" customFormat="false" ht="15" hidden="false" customHeight="true" outlineLevel="0" collapsed="false">
      <c r="A6" s="4" t="s">
        <v>4</v>
      </c>
      <c r="B6" s="1" t="s">
        <v>5</v>
      </c>
    </row>
    <row r="7" customFormat="false" ht="15" hidden="false" customHeight="true" outlineLevel="0" collapsed="false">
      <c r="A7" s="4" t="s">
        <v>6</v>
      </c>
      <c r="B7" s="1" t="s">
        <v>7</v>
      </c>
    </row>
    <row r="8" customFormat="false" ht="15" hidden="false" customHeight="true" outlineLevel="0" collapsed="false">
      <c r="A8" s="4" t="s">
        <v>8</v>
      </c>
      <c r="B8" s="1" t="s">
        <v>9</v>
      </c>
    </row>
    <row r="9" customFormat="false" ht="15" hidden="false" customHeight="true" outlineLevel="0" collapsed="false">
      <c r="A9" s="4" t="s">
        <v>10</v>
      </c>
      <c r="B9" s="1" t="s">
        <v>11</v>
      </c>
    </row>
    <row r="11" customFormat="false" ht="15" hidden="false" customHeight="true" outlineLevel="0" collapsed="false">
      <c r="B1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30"/>
    <col collapsed="false" customWidth="true" hidden="false" outlineLevel="0" max="6" min="5" style="1" width="16"/>
  </cols>
  <sheetData>
    <row r="1" customFormat="false" ht="17.25" hidden="false" customHeight="true" outlineLevel="0" collapsed="false">
      <c r="A1" s="2" t="s">
        <v>13</v>
      </c>
    </row>
    <row r="2" customFormat="false" ht="15" hidden="false" customHeight="true" outlineLevel="0" collapsed="false">
      <c r="A2" s="3" t="s">
        <v>14</v>
      </c>
    </row>
    <row r="4" customFormat="false" ht="15" hidden="false" customHeight="true" outlineLevel="0" collapsed="false">
      <c r="A4" s="5" t="s">
        <v>15</v>
      </c>
      <c r="B4" s="5" t="s">
        <v>16</v>
      </c>
    </row>
    <row r="5" customFormat="false" ht="15" hidden="false" customHeight="true" outlineLevel="0" collapsed="false">
      <c r="A5" s="6" t="s">
        <v>17</v>
      </c>
      <c r="B5" s="7" t="n">
        <v>150000</v>
      </c>
    </row>
    <row r="6" customFormat="false" ht="15" hidden="false" customHeight="true" outlineLevel="0" collapsed="false">
      <c r="A6" s="6" t="s">
        <v>18</v>
      </c>
      <c r="B6" s="7" t="n">
        <v>60000</v>
      </c>
    </row>
    <row r="7" customFormat="false" ht="15" hidden="false" customHeight="true" outlineLevel="0" collapsed="false">
      <c r="A7" s="6" t="s">
        <v>19</v>
      </c>
      <c r="B7" s="7" t="n">
        <v>0</v>
      </c>
    </row>
    <row r="8" customFormat="false" ht="15" hidden="false" customHeight="true" outlineLevel="0" collapsed="false">
      <c r="A8" s="6" t="s">
        <v>20</v>
      </c>
      <c r="B8" s="7" t="n">
        <v>5000</v>
      </c>
    </row>
    <row r="9" customFormat="false" ht="15" hidden="false" customHeight="true" outlineLevel="0" collapsed="false">
      <c r="A9" s="6" t="s">
        <v>21</v>
      </c>
      <c r="B9" s="8" t="n">
        <f aca="false">SUM(B5:B8)</f>
        <v>215000</v>
      </c>
    </row>
    <row r="11" customFormat="false" ht="15" hidden="false" customHeight="true" outlineLevel="0" collapsed="false">
      <c r="A11" s="5" t="s">
        <v>22</v>
      </c>
      <c r="B11" s="5" t="s">
        <v>16</v>
      </c>
    </row>
    <row r="12" customFormat="false" ht="15" hidden="false" customHeight="true" outlineLevel="0" collapsed="false">
      <c r="A12" s="6" t="s">
        <v>23</v>
      </c>
      <c r="B12" s="7" t="n">
        <v>34000</v>
      </c>
    </row>
    <row r="13" customFormat="false" ht="15" hidden="false" customHeight="true" outlineLevel="0" collapsed="false">
      <c r="A13" s="6" t="s">
        <v>24</v>
      </c>
      <c r="B13" s="7" t="n">
        <v>22000</v>
      </c>
    </row>
    <row r="14" customFormat="false" ht="15" hidden="false" customHeight="true" outlineLevel="0" collapsed="false">
      <c r="A14" s="6" t="s">
        <v>25</v>
      </c>
      <c r="B14" s="7" t="n">
        <v>9000</v>
      </c>
    </row>
    <row r="15" customFormat="false" ht="15" hidden="false" customHeight="true" outlineLevel="0" collapsed="false">
      <c r="A15" s="6" t="s">
        <v>26</v>
      </c>
      <c r="B15" s="7" t="n">
        <v>7000</v>
      </c>
    </row>
    <row r="16" customFormat="false" ht="15" hidden="false" customHeight="true" outlineLevel="0" collapsed="false">
      <c r="A16" s="6" t="s">
        <v>27</v>
      </c>
      <c r="B16" s="7" t="n">
        <v>18000</v>
      </c>
    </row>
    <row r="17" customFormat="false" ht="15" hidden="false" customHeight="true" outlineLevel="0" collapsed="false">
      <c r="A17" s="6" t="s">
        <v>28</v>
      </c>
      <c r="B17" s="7" t="n">
        <v>4000</v>
      </c>
    </row>
    <row r="18" customFormat="false" ht="15" hidden="false" customHeight="true" outlineLevel="0" collapsed="false">
      <c r="A18" s="6" t="s">
        <v>29</v>
      </c>
      <c r="B18" s="7" t="n">
        <v>6000</v>
      </c>
    </row>
    <row r="19" customFormat="false" ht="15" hidden="false" customHeight="true" outlineLevel="0" collapsed="false">
      <c r="A19" s="6" t="s">
        <v>30</v>
      </c>
      <c r="B19" s="7" t="n">
        <v>5000</v>
      </c>
    </row>
    <row r="20" customFormat="false" ht="15" hidden="false" customHeight="true" outlineLevel="0" collapsed="false">
      <c r="A20" s="6" t="s">
        <v>31</v>
      </c>
      <c r="B20" s="7" t="n">
        <v>12000</v>
      </c>
    </row>
    <row r="21" customFormat="false" ht="15" hidden="false" customHeight="true" outlineLevel="0" collapsed="false">
      <c r="A21" s="6" t="s">
        <v>32</v>
      </c>
      <c r="B21" s="8" t="n">
        <f aca="false">SUM(B12:B20)</f>
        <v>117000</v>
      </c>
    </row>
    <row r="22" customFormat="false" ht="15" hidden="false" customHeight="true" outlineLevel="0" collapsed="false">
      <c r="A22" s="9" t="s">
        <v>33</v>
      </c>
      <c r="B22" s="10" t="n">
        <f aca="false">B9-B21</f>
        <v>98000</v>
      </c>
    </row>
    <row r="24" customFormat="false" ht="15" hidden="false" customHeight="true" outlineLevel="0" collapsed="false">
      <c r="A24" s="5" t="s">
        <v>34</v>
      </c>
      <c r="B24" s="5" t="s">
        <v>35</v>
      </c>
      <c r="D24" s="5" t="s">
        <v>36</v>
      </c>
      <c r="E24" s="5" t="s">
        <v>35</v>
      </c>
    </row>
    <row r="25" customFormat="false" ht="15" hidden="false" customHeight="true" outlineLevel="0" collapsed="false">
      <c r="A25" s="6" t="s">
        <v>37</v>
      </c>
      <c r="B25" s="7" t="n">
        <v>9000000</v>
      </c>
      <c r="D25" s="6" t="s">
        <v>38</v>
      </c>
      <c r="E25" s="7" t="n">
        <v>4000000</v>
      </c>
    </row>
    <row r="26" customFormat="false" ht="15" hidden="false" customHeight="true" outlineLevel="0" collapsed="false">
      <c r="A26" s="6" t="s">
        <v>39</v>
      </c>
      <c r="B26" s="7" t="n">
        <v>800000</v>
      </c>
      <c r="D26" s="6" t="s">
        <v>40</v>
      </c>
      <c r="E26" s="7" t="n">
        <v>0</v>
      </c>
    </row>
    <row r="27" customFormat="false" ht="15" hidden="false" customHeight="true" outlineLevel="0" collapsed="false">
      <c r="A27" s="6" t="s">
        <v>41</v>
      </c>
      <c r="B27" s="7" t="n">
        <v>300000</v>
      </c>
      <c r="D27" s="6" t="s">
        <v>42</v>
      </c>
      <c r="E27" s="7" t="n">
        <v>80000</v>
      </c>
    </row>
    <row r="28" customFormat="false" ht="15" hidden="false" customHeight="true" outlineLevel="0" collapsed="false">
      <c r="A28" s="6" t="s">
        <v>43</v>
      </c>
      <c r="B28" s="7" t="n">
        <v>600000</v>
      </c>
      <c r="D28" s="6" t="s">
        <v>44</v>
      </c>
      <c r="E28" s="7" t="n">
        <v>0</v>
      </c>
    </row>
    <row r="29" customFormat="false" ht="15" hidden="false" customHeight="true" outlineLevel="0" collapsed="false">
      <c r="A29" s="6" t="s">
        <v>45</v>
      </c>
      <c r="B29" s="7" t="n">
        <v>200000</v>
      </c>
      <c r="D29" s="6" t="s">
        <v>46</v>
      </c>
      <c r="E29" s="7" t="n">
        <v>0</v>
      </c>
    </row>
    <row r="30" customFormat="false" ht="15" hidden="false" customHeight="true" outlineLevel="0" collapsed="false">
      <c r="A30" s="6" t="s">
        <v>47</v>
      </c>
      <c r="B30" s="7" t="n">
        <v>250000</v>
      </c>
    </row>
    <row r="31" customFormat="false" ht="15" hidden="false" customHeight="true" outlineLevel="0" collapsed="false">
      <c r="A31" s="6" t="s">
        <v>48</v>
      </c>
      <c r="B31" s="7" t="n">
        <v>400000</v>
      </c>
    </row>
    <row r="32" customFormat="false" ht="15" hidden="false" customHeight="true" outlineLevel="0" collapsed="false">
      <c r="A32" s="6" t="s">
        <v>49</v>
      </c>
      <c r="B32" s="7" t="n">
        <v>150000</v>
      </c>
    </row>
    <row r="33" customFormat="false" ht="15" hidden="false" customHeight="true" outlineLevel="0" collapsed="false">
      <c r="A33" s="6" t="s">
        <v>50</v>
      </c>
      <c r="B33" s="7" t="n">
        <v>180000</v>
      </c>
    </row>
    <row r="34" customFormat="false" ht="15" hidden="false" customHeight="true" outlineLevel="0" collapsed="false">
      <c r="A34" s="4" t="s">
        <v>51</v>
      </c>
      <c r="B34" s="8" t="n">
        <f aca="false">SUM(B25:B33)</f>
        <v>11880000</v>
      </c>
      <c r="D34" s="4" t="s">
        <v>52</v>
      </c>
      <c r="E34" s="8" t="n">
        <f aca="false">SUM(E25:E29)</f>
        <v>4080000</v>
      </c>
    </row>
    <row r="35" customFormat="false" ht="15" hidden="false" customHeight="true" outlineLevel="0" collapsed="false">
      <c r="A35" s="9" t="s">
        <v>53</v>
      </c>
      <c r="B35" s="10" t="n">
        <f aca="false">B34-E34</f>
        <v>7800000</v>
      </c>
    </row>
    <row r="37" customFormat="false" ht="15" hidden="false" customHeight="true" outlineLevel="0" collapsed="false">
      <c r="A37" s="5" t="s">
        <v>54</v>
      </c>
      <c r="B37" s="5" t="s">
        <v>55</v>
      </c>
    </row>
    <row r="38" customFormat="false" ht="15" hidden="false" customHeight="true" outlineLevel="0" collapsed="false">
      <c r="A38" s="4" t="s">
        <v>56</v>
      </c>
      <c r="B38" s="7" t="n">
        <v>2500000</v>
      </c>
    </row>
    <row r="39" customFormat="false" ht="15" hidden="false" customHeight="true" outlineLevel="0" collapsed="false">
      <c r="A39" s="4" t="s">
        <v>57</v>
      </c>
      <c r="B39" s="7" t="n"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2" t="s">
        <v>58</v>
      </c>
    </row>
    <row r="3" customFormat="false" ht="15" hidden="false" customHeight="true" outlineLevel="0" collapsed="false">
      <c r="A3" s="6" t="s">
        <v>59</v>
      </c>
      <c r="B3" s="7" t="n">
        <v>36</v>
      </c>
    </row>
    <row r="4" customFormat="false" ht="15" hidden="false" customHeight="true" outlineLevel="0" collapsed="false">
      <c r="A4" s="6" t="s">
        <v>60</v>
      </c>
      <c r="B4" s="7" t="n">
        <v>58</v>
      </c>
    </row>
    <row r="5" customFormat="false" ht="15" hidden="false" customHeight="true" outlineLevel="0" collapsed="false">
      <c r="A5" s="6" t="s">
        <v>61</v>
      </c>
      <c r="B5" s="7" t="n">
        <v>85</v>
      </c>
    </row>
    <row r="6" customFormat="false" ht="15" hidden="false" customHeight="true" outlineLevel="0" collapsed="false">
      <c r="A6" s="6" t="s">
        <v>62</v>
      </c>
      <c r="B6" s="7" t="n">
        <v>80000</v>
      </c>
    </row>
    <row r="7" customFormat="false" ht="15" hidden="false" customHeight="true" outlineLevel="0" collapsed="false">
      <c r="A7" s="6" t="s">
        <v>63</v>
      </c>
      <c r="B7" s="11" t="n">
        <v>0.06</v>
      </c>
    </row>
    <row r="8" customFormat="false" ht="15" hidden="false" customHeight="true" outlineLevel="0" collapsed="false">
      <c r="A8" s="6" t="s">
        <v>64</v>
      </c>
      <c r="B8" s="11" t="n">
        <v>0.1</v>
      </c>
    </row>
    <row r="9" customFormat="false" ht="15" hidden="false" customHeight="true" outlineLevel="0" collapsed="false">
      <c r="A9" s="6" t="s">
        <v>65</v>
      </c>
      <c r="B9" s="11" t="n">
        <v>0.075</v>
      </c>
    </row>
    <row r="10" customFormat="false" ht="15" hidden="false" customHeight="true" outlineLevel="0" collapsed="false">
      <c r="A10" s="6" t="s">
        <v>66</v>
      </c>
      <c r="B10" s="7" t="n">
        <v>500000</v>
      </c>
    </row>
    <row r="12" customFormat="false" ht="15" hidden="false" customHeight="true" outlineLevel="0" collapsed="false">
      <c r="A12" s="4" t="s">
        <v>67</v>
      </c>
      <c r="B12" s="12" t="n">
        <f aca="false">B4-B3</f>
        <v>22</v>
      </c>
    </row>
    <row r="13" customFormat="false" ht="15" hidden="false" customHeight="true" outlineLevel="0" collapsed="false">
      <c r="A13" s="4" t="s">
        <v>68</v>
      </c>
      <c r="B13" s="13" t="n">
        <f aca="false">B6*(1+B7)^B12</f>
        <v>288282.993326269</v>
      </c>
    </row>
    <row r="14" customFormat="false" ht="15" hidden="false" customHeight="true" outlineLevel="0" collapsed="false">
      <c r="A14" s="4" t="s">
        <v>69</v>
      </c>
      <c r="B14" s="13" t="n">
        <f aca="false">B13*12</f>
        <v>3459395.91991522</v>
      </c>
    </row>
    <row r="15" customFormat="false" ht="15" hidden="false" customHeight="true" outlineLevel="0" collapsed="false">
      <c r="A15" s="4" t="s">
        <v>70</v>
      </c>
      <c r="B15" s="14" t="n">
        <f aca="false">(1+B9)/(1+B7)-1</f>
        <v>0.0141509433962264</v>
      </c>
    </row>
    <row r="16" customFormat="false" ht="15" hidden="false" customHeight="true" outlineLevel="0" collapsed="false">
      <c r="A16" s="4" t="s">
        <v>71</v>
      </c>
      <c r="B16" s="12" t="n">
        <f aca="false">B5-B4</f>
        <v>27</v>
      </c>
    </row>
    <row r="17" customFormat="false" ht="15" hidden="false" customHeight="true" outlineLevel="0" collapsed="false">
      <c r="A17" s="9" t="s">
        <v>72</v>
      </c>
      <c r="B17" s="10" t="n">
        <f aca="false">B14*(1-(1+B15)^(-B16))/B15</f>
        <v>77183715.4117426</v>
      </c>
    </row>
    <row r="18" customFormat="false" ht="15" hidden="false" customHeight="true" outlineLevel="0" collapsed="false">
      <c r="A18" s="4" t="s">
        <v>73</v>
      </c>
      <c r="B18" s="13" t="n">
        <f aca="false">B10*(1+B8)^B12</f>
        <v>4070137.469342</v>
      </c>
    </row>
    <row r="19" customFormat="false" ht="15" hidden="false" customHeight="true" outlineLevel="0" collapsed="false">
      <c r="A19" s="4" t="s">
        <v>74</v>
      </c>
      <c r="B19" s="13" t="n">
        <f aca="false">MAX(B17-B18,0)</f>
        <v>73113577.9424007</v>
      </c>
    </row>
    <row r="20" customFormat="false" ht="15" hidden="false" customHeight="true" outlineLevel="0" collapsed="false">
      <c r="A20" s="9" t="s">
        <v>75</v>
      </c>
      <c r="B20" s="10" t="n">
        <f aca="false">B19*(B8/12)/((1+B8/12)^(B12*12)-1)</f>
        <v>76705.4020380473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20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76</v>
      </c>
    </row>
    <row r="3" customFormat="false" ht="15" hidden="false" customHeight="true" outlineLevel="0" collapsed="false">
      <c r="A3" s="15" t="s">
        <v>77</v>
      </c>
      <c r="B3" s="15" t="s">
        <v>78</v>
      </c>
      <c r="C3" s="15" t="s">
        <v>79</v>
      </c>
      <c r="D3" s="15" t="s">
        <v>63</v>
      </c>
      <c r="E3" s="15" t="s">
        <v>80</v>
      </c>
      <c r="F3" s="15" t="s">
        <v>81</v>
      </c>
    </row>
    <row r="4" customFormat="false" ht="15" hidden="false" customHeight="true" outlineLevel="0" collapsed="false">
      <c r="A4" s="6" t="s">
        <v>82</v>
      </c>
      <c r="B4" s="7" t="n">
        <v>5000000</v>
      </c>
      <c r="C4" s="16" t="n">
        <v>12</v>
      </c>
      <c r="D4" s="11" t="n">
        <v>0.08</v>
      </c>
      <c r="E4" s="13" t="n">
        <f aca="false">B4*(1+D4)^C4</f>
        <v>12590850.5840949</v>
      </c>
      <c r="F4" s="13" t="n">
        <f aca="false">E4*(0.11/12)/((1+0.11/12)^(C4*12)-1)</f>
        <v>42417.1387941135</v>
      </c>
    </row>
    <row r="5" customFormat="false" ht="15" hidden="false" customHeight="true" outlineLevel="0" collapsed="false">
      <c r="A5" s="6" t="s">
        <v>83</v>
      </c>
      <c r="B5" s="7" t="n">
        <v>3000000</v>
      </c>
      <c r="C5" s="16" t="n">
        <v>24</v>
      </c>
      <c r="D5" s="11" t="n">
        <v>0.06</v>
      </c>
      <c r="E5" s="13" t="n">
        <f aca="false">B5*(1+D5)^C5</f>
        <v>12146803.9238023</v>
      </c>
      <c r="F5" s="13" t="n">
        <f aca="false">E5*(0.11/12)/((1+0.11/12)^(C5*12)-1)</f>
        <v>8667.94769400351</v>
      </c>
    </row>
    <row r="6" customFormat="false" ht="15" hidden="false" customHeight="true" outlineLevel="0" collapsed="false">
      <c r="A6" s="6" t="s">
        <v>84</v>
      </c>
      <c r="B6" s="7" t="n">
        <v>5000000</v>
      </c>
      <c r="C6" s="16" t="n">
        <v>15</v>
      </c>
      <c r="D6" s="11" t="n">
        <v>0.08</v>
      </c>
      <c r="E6" s="13" t="n">
        <f aca="false">B6*(1+D6)^C6</f>
        <v>15860845.5709914</v>
      </c>
      <c r="F6" s="13" t="n">
        <f aca="false">E6*(0.11/12)/((1+0.11/12)^(C6*12)-1)</f>
        <v>34882.8001538081</v>
      </c>
    </row>
    <row r="7" customFormat="false" ht="15" hidden="false" customHeight="true" outlineLevel="0" collapsed="false">
      <c r="A7" s="6" t="s">
        <v>85</v>
      </c>
      <c r="B7" s="7" t="n">
        <v>3500000</v>
      </c>
      <c r="C7" s="16" t="n">
        <v>5</v>
      </c>
      <c r="D7" s="11" t="n">
        <v>0.07</v>
      </c>
      <c r="E7" s="13" t="n">
        <f aca="false">B7*(1+D7)^C7</f>
        <v>4908931.05745</v>
      </c>
      <c r="F7" s="13" t="n">
        <f aca="false">E7*(0.11/12)/((1+0.11/12)^(C7*12)-1)</f>
        <v>61733.5211922237</v>
      </c>
    </row>
    <row r="8" customFormat="false" ht="15" hidden="false" customHeight="true" outlineLevel="0" collapsed="false">
      <c r="A8" s="6" t="s">
        <v>86</v>
      </c>
      <c r="B8" s="7" t="n">
        <v>1200000</v>
      </c>
      <c r="C8" s="16" t="n">
        <v>4</v>
      </c>
      <c r="D8" s="11" t="n">
        <v>0.05</v>
      </c>
      <c r="E8" s="13" t="n">
        <f aca="false">B8*(1+D8)^C8</f>
        <v>1458607.5</v>
      </c>
      <c r="F8" s="13" t="n">
        <f aca="false">E8*(0.11/12)/((1+0.11/12)^(C8*12)-1)</f>
        <v>24327.9043724843</v>
      </c>
    </row>
    <row r="9" customFormat="false" ht="15" hidden="false" customHeight="true" outlineLevel="0" collapsed="false">
      <c r="A9" s="6" t="s">
        <v>87</v>
      </c>
      <c r="B9" s="7" t="n">
        <v>400000</v>
      </c>
      <c r="C9" s="16" t="n">
        <v>2</v>
      </c>
      <c r="D9" s="11" t="n">
        <v>0.05</v>
      </c>
      <c r="E9" s="13" t="n">
        <f aca="false">B9*(1+D9)^C9</f>
        <v>441000</v>
      </c>
      <c r="F9" s="13" t="n">
        <f aca="false">E9*(0.11/12)/((1+0.11/12)^(C9*12)-1)</f>
        <v>16511.5566446674</v>
      </c>
    </row>
    <row r="10" customFormat="false" ht="15" hidden="false" customHeight="true" outlineLevel="0" collapsed="false">
      <c r="A10" s="9" t="s">
        <v>88</v>
      </c>
      <c r="F10" s="10" t="n">
        <f aca="false">SUM(F4:F9)</f>
        <v>188540.8688513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89</v>
      </c>
    </row>
    <row r="3" customFormat="false" ht="15" hidden="false" customHeight="true" outlineLevel="0" collapsed="false">
      <c r="A3" s="4" t="s">
        <v>90</v>
      </c>
      <c r="B3" s="7" t="n">
        <v>1800000</v>
      </c>
    </row>
    <row r="4" customFormat="false" ht="15" hidden="false" customHeight="true" outlineLevel="0" collapsed="false">
      <c r="A4" s="4" t="s">
        <v>91</v>
      </c>
      <c r="B4" s="16" t="n">
        <v>20</v>
      </c>
    </row>
    <row r="5" customFormat="false" ht="15" hidden="false" customHeight="true" outlineLevel="0" collapsed="false">
      <c r="A5" s="4" t="s">
        <v>63</v>
      </c>
      <c r="B5" s="11" t="n">
        <v>0.06</v>
      </c>
    </row>
    <row r="6" customFormat="false" ht="15" hidden="false" customHeight="true" outlineLevel="0" collapsed="false">
      <c r="A6" s="4" t="s">
        <v>92</v>
      </c>
      <c r="B6" s="11" t="n">
        <v>0.09</v>
      </c>
    </row>
    <row r="7" customFormat="false" ht="15" hidden="false" customHeight="true" outlineLevel="0" collapsed="false">
      <c r="A7" s="4" t="s">
        <v>93</v>
      </c>
      <c r="B7" s="13" t="n">
        <f aca="false">CashFlow_NetWorth!E34</f>
        <v>4080000</v>
      </c>
    </row>
    <row r="8" customFormat="false" ht="15" hidden="false" customHeight="true" outlineLevel="0" collapsed="false">
      <c r="A8" s="4" t="s">
        <v>94</v>
      </c>
      <c r="B8" s="13" t="n">
        <f aca="false">SUM(Goals!E4:E9)</f>
        <v>47407038.6363386</v>
      </c>
    </row>
    <row r="9" customFormat="false" ht="15" hidden="false" customHeight="true" outlineLevel="0" collapsed="false">
      <c r="A9" s="4" t="s">
        <v>95</v>
      </c>
      <c r="B9" s="13" t="n">
        <f aca="false">SUM(CashFlow_NetWorth!B26:B33)</f>
        <v>2880000</v>
      </c>
    </row>
    <row r="10" customFormat="false" ht="15" hidden="false" customHeight="true" outlineLevel="0" collapsed="false">
      <c r="A10" s="4" t="s">
        <v>96</v>
      </c>
      <c r="B10" s="13" t="n">
        <f aca="false">CashFlow_NetWorth!B38</f>
        <v>2500000</v>
      </c>
    </row>
    <row r="12" customFormat="false" ht="15" hidden="false" customHeight="true" outlineLevel="0" collapsed="false">
      <c r="A12" s="4" t="s">
        <v>97</v>
      </c>
      <c r="B12" s="14" t="n">
        <f aca="false">(1+B6)/(1+B5)-1</f>
        <v>0.0283018867924529</v>
      </c>
    </row>
    <row r="13" customFormat="false" ht="15" hidden="false" customHeight="true" outlineLevel="0" collapsed="false">
      <c r="A13" s="4" t="s">
        <v>98</v>
      </c>
      <c r="B13" s="13" t="n">
        <f aca="false">B3*(1-(1+B12)^(-B4))/B12</f>
        <v>27204770.5129942</v>
      </c>
    </row>
    <row r="14" customFormat="false" ht="15" hidden="false" customHeight="true" outlineLevel="0" collapsed="false">
      <c r="A14" s="9" t="s">
        <v>99</v>
      </c>
      <c r="B14" s="10" t="n">
        <f aca="false">B13+B7+B8-B9</f>
        <v>75811809.1493328</v>
      </c>
    </row>
    <row r="15" customFormat="false" ht="15" hidden="false" customHeight="true" outlineLevel="0" collapsed="false">
      <c r="A15" s="9" t="s">
        <v>100</v>
      </c>
      <c r="B15" s="10" t="n">
        <f aca="false">MAX(B14-B10,0)</f>
        <v>73311809.1493328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2"/>
    <col collapsed="false" customWidth="true" hidden="false" outlineLevel="0" max="3" min="3" style="1" width="10"/>
  </cols>
  <sheetData>
    <row r="1" customFormat="false" ht="17.25" hidden="false" customHeight="true" outlineLevel="0" collapsed="false">
      <c r="A1" s="2" t="s">
        <v>101</v>
      </c>
    </row>
    <row r="3" customFormat="false" ht="15" hidden="false" customHeight="true" outlineLevel="0" collapsed="false">
      <c r="A3" s="6" t="s">
        <v>33</v>
      </c>
      <c r="B3" s="8" t="n">
        <f aca="false">CashFlow_NetWorth!B22</f>
        <v>98000</v>
      </c>
    </row>
    <row r="4" customFormat="false" ht="15" hidden="false" customHeight="true" outlineLevel="0" collapsed="false">
      <c r="A4" s="6" t="s">
        <v>53</v>
      </c>
      <c r="B4" s="8" t="n">
        <f aca="false">CashFlow_NetWorth!B35</f>
        <v>7800000</v>
      </c>
    </row>
    <row r="5" customFormat="false" ht="15" hidden="false" customHeight="true" outlineLevel="0" collapsed="false">
      <c r="A5" s="6" t="s">
        <v>102</v>
      </c>
      <c r="B5" s="8" t="n">
        <f aca="false">CashFlow_NetWorth!B21*6</f>
        <v>702000</v>
      </c>
    </row>
    <row r="6" customFormat="false" ht="15" hidden="false" customHeight="true" outlineLevel="0" collapsed="false">
      <c r="A6" s="6" t="s">
        <v>103</v>
      </c>
      <c r="B6" s="8" t="n">
        <f aca="false">Retirement!B17</f>
        <v>77183715.4117426</v>
      </c>
    </row>
    <row r="7" customFormat="false" ht="15" hidden="false" customHeight="true" outlineLevel="0" collapsed="false">
      <c r="A7" s="6" t="s">
        <v>104</v>
      </c>
      <c r="B7" s="8" t="n">
        <f aca="false">Retirement!B20</f>
        <v>76705.4020380473</v>
      </c>
    </row>
    <row r="8" customFormat="false" ht="15" hidden="false" customHeight="true" outlineLevel="0" collapsed="false">
      <c r="A8" s="6" t="s">
        <v>105</v>
      </c>
      <c r="B8" s="8" t="n">
        <f aca="false">Goals!F10</f>
        <v>188540.8688513</v>
      </c>
    </row>
    <row r="9" customFormat="false" ht="15" hidden="false" customHeight="true" outlineLevel="0" collapsed="false">
      <c r="A9" s="6" t="s">
        <v>106</v>
      </c>
      <c r="B9" s="8" t="n">
        <f aca="false">HLV!B15</f>
        <v>73311809.1493328</v>
      </c>
    </row>
    <row r="10" customFormat="false" ht="15" hidden="false" customHeight="true" outlineLevel="0" collapsed="false">
      <c r="A10" s="6" t="s">
        <v>107</v>
      </c>
      <c r="B10" s="8" t="n">
        <f aca="false">Retirement!B20+Goals!F10</f>
        <v>265246.270889348</v>
      </c>
    </row>
    <row r="12" customFormat="false" ht="15" hidden="false" customHeight="true" outlineLevel="0" collapsed="false">
      <c r="A12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2026-07-03T16:43:46Z</dcterms:created>
  <dc:creator>PB Copilot (synthetic sample)</dc:creator>
  <dc:description/>
  <dc:language>en-US</dc:language>
  <cp:lastModifiedBy>PB Copilot</cp:lastModifiedBy>
  <dcterms:modified xsi:type="dcterms:W3CDTF">2026-07-03T16:44:25Z</dcterms:modified>
  <cp:revision>0</cp:revision>
  <dc:subject/>
  <dc:title>PB Copilot Sample Financial Planner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